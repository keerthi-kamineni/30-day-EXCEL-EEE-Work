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868266C5-C53C-4656-8222-2F44CE971D35}" xr6:coauthVersionLast="45" xr6:coauthVersionMax="45" xr10:uidLastSave="{00000000-0000-0000-0000-000000000000}"/>
  <bookViews>
    <workbookView xWindow="-108" yWindow="-108" windowWidth="23256" windowHeight="12456" xr2:uid="{7094CECD-00E0-4547-AD7C-136972111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D3" i="1"/>
  <c r="D4" i="1" s="1"/>
  <c r="D2" i="1"/>
  <c r="D1" i="1"/>
</calcChain>
</file>

<file path=xl/sharedStrings.xml><?xml version="1.0" encoding="utf-8"?>
<sst xmlns="http://schemas.openxmlformats.org/spreadsheetml/2006/main" count="11" uniqueCount="11">
  <si>
    <t>Rated Power (kW)</t>
  </si>
  <si>
    <t>Load Fraction</t>
  </si>
  <si>
    <t>Power Factor</t>
  </si>
  <si>
    <t>Copper Loss (full load, W)</t>
  </si>
  <si>
    <t>Core Loss (W)</t>
  </si>
  <si>
    <t>Output Power=B1*B2*B3*1000</t>
  </si>
  <si>
    <t>Copper Loss at given load=B4*(B2^2)</t>
  </si>
  <si>
    <t xml:space="preserve">Load </t>
  </si>
  <si>
    <t xml:space="preserve">Efficiency </t>
  </si>
  <si>
    <t>Total Loss=D2+B5</t>
  </si>
  <si>
    <t>Efficiency=(D1/(D1+D3))*100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</si>
</sst>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Load</a:t>
            </a:r>
            <a:r>
              <a:rPr lang="en-IN" baseline="0"/>
              <a:t> vs Efficiency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Sheet1!$F$2:$F$6</c:f>
              <c:numCache>
                <c:formatCode>General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</c:numCache>
            </c:numRef>
          </c:xVal>
          <c:yVal>
            <c:numRef>
              <c:f>Sheet1!$G$2:$G$6</c:f>
              <c:numCache>
                <c:formatCode>General</c:formatCode>
                <c:ptCount val="5"/>
                <c:pt idx="0">
                  <c:v>91.012514220705341</c:v>
                </c:pt>
                <c:pt idx="1">
                  <c:v>94.618568894145469</c:v>
                </c:pt>
                <c:pt idx="2">
                  <c:v>95.579450418160093</c:v>
                </c:pt>
                <c:pt idx="3">
                  <c:v>95.837076969152449</c:v>
                </c:pt>
                <c:pt idx="4">
                  <c:v>95.808383233532936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87-4A53-AAC0-2F655C2E7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976160"/>
        <c:axId val="579977472"/>
      </c:scatterChart>
      <c:valAx>
        <c:axId val="57997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77472"/>
        <c:crosses val="autoZero"/>
        <c:crossBetween val="midCat"/>
      </c:valAx>
      <c:valAx>
        <c:axId val="57997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7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15240</xdr:rowOff>
    </xdr:from>
    <xdr:to>
      <xdr:col>2</xdr:col>
      <xdr:colOff>2438400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F8271-FC5C-4EFB-8357-2A10304A1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D852-9FF2-4535-ABDF-0CC9EC17A543}">
  <dimension ref="A1:G6"/>
  <sheetViews>
    <sheetView tabSelected="1" workbookViewId="0">
      <selection activeCell="H12" sqref="H12"/>
    </sheetView>
  </sheetViews>
  <sheetFormatPr defaultRowHeight="14.4" x14ac:dyDescent="0.3"/>
  <cols>
    <col min="1" max="1" width="22.21875" customWidth="1"/>
    <col min="3" max="3" width="50.5546875" customWidth="1"/>
  </cols>
  <sheetData>
    <row r="1" spans="1:7" x14ac:dyDescent="0.3">
      <c r="A1" t="s">
        <v>0</v>
      </c>
      <c r="B1">
        <v>100</v>
      </c>
      <c r="C1" t="s">
        <v>5</v>
      </c>
      <c r="D1">
        <f>B1*B2*B3*1000</f>
        <v>40000</v>
      </c>
      <c r="F1" t="s">
        <v>7</v>
      </c>
      <c r="G1" t="s">
        <v>8</v>
      </c>
    </row>
    <row r="2" spans="1:7" x14ac:dyDescent="0.3">
      <c r="A2" t="s">
        <v>1</v>
      </c>
      <c r="B2">
        <v>0.5</v>
      </c>
      <c r="C2" t="s">
        <v>6</v>
      </c>
      <c r="D2">
        <f>B4*(B2^2)</f>
        <v>500</v>
      </c>
      <c r="F2">
        <v>0.2</v>
      </c>
      <c r="G2">
        <f>(B1*F2*B3*1000)/((B1*F2*B3*1000)+(B4*(F2^2))+B5)*100</f>
        <v>91.012514220705341</v>
      </c>
    </row>
    <row r="3" spans="1:7" x14ac:dyDescent="0.3">
      <c r="A3" t="s">
        <v>2</v>
      </c>
      <c r="B3">
        <v>0.8</v>
      </c>
      <c r="C3" t="s">
        <v>9</v>
      </c>
      <c r="D3">
        <f>D2+B5</f>
        <v>2000</v>
      </c>
      <c r="F3">
        <v>0.4</v>
      </c>
      <c r="G3">
        <f>(B1*F3*B3*1000)/((B1*F3*B3*1000)+(B4*(F3^2))+B5)*100</f>
        <v>94.618568894145469</v>
      </c>
    </row>
    <row r="4" spans="1:7" x14ac:dyDescent="0.3">
      <c r="A4" t="s">
        <v>3</v>
      </c>
      <c r="B4">
        <v>2000</v>
      </c>
      <c r="C4" t="s">
        <v>10</v>
      </c>
      <c r="D4">
        <f>(D1/(D1+D3))*100</f>
        <v>95.238095238095227</v>
      </c>
      <c r="F4">
        <v>0.6</v>
      </c>
      <c r="G4">
        <f>(B1*F4*B3*1000)/((B1*F4*B3*1000)+(B4*(F4^2))+B5)*100</f>
        <v>95.579450418160093</v>
      </c>
    </row>
    <row r="5" spans="1:7" x14ac:dyDescent="0.3">
      <c r="A5" t="s">
        <v>4</v>
      </c>
      <c r="B5">
        <v>1500</v>
      </c>
      <c r="F5">
        <v>0.8</v>
      </c>
      <c r="G5">
        <f>(B1*F5*B3*1000)/((B1*F5*B3*1000)+(B4*(F5^2))+B5)*100</f>
        <v>95.837076969152449</v>
      </c>
    </row>
    <row r="6" spans="1:7" x14ac:dyDescent="0.3">
      <c r="F6">
        <v>1</v>
      </c>
      <c r="G6">
        <f>(B1*F6*B3*1000)/((B1*F6*B3*1000)+(B4*(F6^2))+B5)*100</f>
        <v>95.808383233532936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2026-04-17T08:02:12Z</dcterms:created>
  <dcterms:modified xsi:type="dcterms:W3CDTF">2026-04-17T08:45:53Z</dcterms:modified>
</cp:coreProperties>
</file>