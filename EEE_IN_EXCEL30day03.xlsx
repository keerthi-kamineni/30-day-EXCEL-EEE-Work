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79af66488d3167/Documents/"/>
    </mc:Choice>
  </mc:AlternateContent>
  <xr:revisionPtr revIDLastSave="55" documentId="8_{91D447A5-AB5D-4140-99A2-708B54886BB1}" xr6:coauthVersionLast="47" xr6:coauthVersionMax="47" xr10:uidLastSave="{167711D8-54BF-484E-9D2F-FFE7CE91F7FC}"/>
  <bookViews>
    <workbookView xWindow="-108" yWindow="-108" windowWidth="23256" windowHeight="12456" firstSheet="1" activeTab="2" xr2:uid="{D8A7FED7-F807-45DB-B1AB-C627A34C97EC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2" i="3"/>
  <c r="C3" i="2"/>
  <c r="C4" i="2"/>
  <c r="C5" i="2"/>
  <c r="C6" i="2"/>
  <c r="C2" i="2"/>
  <c r="C3" i="1"/>
  <c r="D3" i="1" s="1"/>
  <c r="E3" i="1" s="1"/>
  <c r="C4" i="1"/>
  <c r="D4" i="1" s="1"/>
  <c r="E4" i="1" s="1"/>
  <c r="C5" i="1"/>
  <c r="D5" i="1" s="1"/>
  <c r="E5" i="1" s="1"/>
  <c r="C6" i="1"/>
  <c r="D6" i="1" s="1"/>
  <c r="E6" i="1" s="1"/>
  <c r="C2" i="1"/>
  <c r="D2" i="1" s="1"/>
  <c r="E2" i="1" s="1"/>
</calcChain>
</file>

<file path=xl/sharedStrings.xml><?xml version="1.0" encoding="utf-8"?>
<sst xmlns="http://schemas.openxmlformats.org/spreadsheetml/2006/main" count="10" uniqueCount="8">
  <si>
    <t>P(KW)</t>
  </si>
  <si>
    <t>Q(KVAR)</t>
  </si>
  <si>
    <t>S(KVA)=(</t>
  </si>
  <si>
    <t>POWER FACTOR</t>
  </si>
  <si>
    <t>STATUS</t>
  </si>
  <si>
    <t>PHASE</t>
  </si>
  <si>
    <t xml:space="preserve">PHASE </t>
  </si>
  <si>
    <t xml:space="preserve">POWER FACTOR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</si>
</sst>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</a:t>
            </a:r>
            <a:r>
              <a:rPr lang="en-IN" baseline="0"/>
              <a:t> vs Power Factor</a:t>
            </a:r>
            <a:endParaRPr lang="en-IN"/>
          </a:p>
        </c:rich>
      </c:tx>
      <c:layout>
        <c:manualLayout>
          <c:xMode val="edge"/>
          <c:yMode val="edge"/>
          <c:x val="0.40949300087489071"/>
          <c:y val="7.4074074074074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P(KW)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Sheet1!$A$2:$A$6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B8-4A0B-A002-F4076BED05F1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Q(KVAR)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Sheet1!$B$2:$B$6</c:f>
              <c:numCache>
                <c:formatCode>General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B8-4A0B-A002-F4076BED05F1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S(KVA)=(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Sheet1!$C$2:$C$6</c:f>
              <c:numCache>
                <c:formatCode>General</c:formatCode>
                <c:ptCount val="5"/>
                <c:pt idx="0">
                  <c:v>100</c:v>
                </c:pt>
                <c:pt idx="1">
                  <c:v>111.80339887498948</c:v>
                </c:pt>
                <c:pt idx="2">
                  <c:v>141.42135623730951</c:v>
                </c:pt>
                <c:pt idx="3">
                  <c:v>180.27756377319946</c:v>
                </c:pt>
                <c:pt idx="4">
                  <c:v>223.60679774997897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B8-4A0B-A002-F4076BED05F1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POWER FACTOR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Sheet1!$D$2:$D$6</c:f>
              <c:numCache>
                <c:formatCode>General</c:formatCode>
                <c:ptCount val="5"/>
                <c:pt idx="0">
                  <c:v>1</c:v>
                </c:pt>
                <c:pt idx="1">
                  <c:v>0.89442719099991586</c:v>
                </c:pt>
                <c:pt idx="2">
                  <c:v>0.70710678118654746</c:v>
                </c:pt>
                <c:pt idx="3">
                  <c:v>0.55470019622522915</c:v>
                </c:pt>
                <c:pt idx="4">
                  <c:v>0.44721359549995793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B8-4A0B-A002-F4076BED05F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69203992"/>
        <c:axId val="608707360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STATUS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Sheet1!$E$2:$E$6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BBB8-4A0B-A002-F4076BED05F1}"/>
                  </c:ext>
                </c:extLst>
              </c15:ser>
            </c15:filteredLineSeries>
          </c:ext>
        </c:extLst>
      </c:lineChart>
      <c:catAx>
        <c:axId val="269203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Power</a:t>
                </a:r>
                <a:r>
                  <a:rPr lang="en-IN" baseline="0"/>
                  <a:t> factor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707360"/>
        <c:crosses val="autoZero"/>
        <c:auto val="1"/>
        <c:lblAlgn val="ctr"/>
        <c:lblOffset val="100"/>
        <c:noMultiLvlLbl val="0"/>
      </c:catAx>
      <c:valAx>
        <c:axId val="60870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Q</a:t>
                </a:r>
                <a:r>
                  <a:rPr lang="en-IN" baseline="0"/>
                  <a:t> Reactive power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20399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POWER FACTOR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Sheet1!$D$2:$D$6</c:f>
              <c:numCache>
                <c:formatCode>General</c:formatCode>
                <c:ptCount val="5"/>
                <c:pt idx="0">
                  <c:v>1</c:v>
                </c:pt>
                <c:pt idx="1">
                  <c:v>0.89442719099991586</c:v>
                </c:pt>
                <c:pt idx="2">
                  <c:v>0.70710678118654746</c:v>
                </c:pt>
                <c:pt idx="3">
                  <c:v>0.55470019622522915</c:v>
                </c:pt>
                <c:pt idx="4">
                  <c:v>0.44721359549995793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CE-4E31-B368-8EB6732AE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498416"/>
        <c:axId val="693496448"/>
      </c:scatterChart>
      <c:valAx>
        <c:axId val="69349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496448"/>
        <c:crosses val="autoZero"/>
        <c:crossBetween val="midCat"/>
      </c:valAx>
      <c:valAx>
        <c:axId val="69349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498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 vs PHASE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Q(KVAR)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Sheet2!$B$2:$B$6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xVal>
          <c:yVal>
            <c:numRef>
              <c:f>Sheet2!$C$2:$C$6</c:f>
              <c:numCache>
                <c:formatCode>General</c:formatCode>
                <c:ptCount val="5"/>
                <c:pt idx="0">
                  <c:v>0</c:v>
                </c:pt>
                <c:pt idx="1">
                  <c:v>17.632698070846498</c:v>
                </c:pt>
                <c:pt idx="2">
                  <c:v>36.397023426620237</c:v>
                </c:pt>
                <c:pt idx="3">
                  <c:v>57.735026918962575</c:v>
                </c:pt>
                <c:pt idx="4">
                  <c:v>83.909963117727997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E9-4AFD-8471-D2EC45346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7701512"/>
        <c:axId val="1727703560"/>
      </c:scatterChart>
      <c:valAx>
        <c:axId val="1727701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703560"/>
        <c:crosses val="autoZero"/>
        <c:crossBetween val="midCat"/>
      </c:valAx>
      <c:valAx>
        <c:axId val="1727703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(KVAR)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701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 Phase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POWER FACTOR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Sheet3!$A$2:$A$6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xVal>
          <c:yVal>
            <c:numRef>
              <c:f>Sheet3!$B$2:$B$6</c:f>
              <c:numCache>
                <c:formatCode>General</c:formatCode>
                <c:ptCount val="5"/>
                <c:pt idx="0">
                  <c:v>1</c:v>
                </c:pt>
                <c:pt idx="1">
                  <c:v>0.98480775301220802</c:v>
                </c:pt>
                <c:pt idx="2">
                  <c:v>0.93969262078590843</c:v>
                </c:pt>
                <c:pt idx="3">
                  <c:v>0.86602540378443871</c:v>
                </c:pt>
                <c:pt idx="4">
                  <c:v>0.76604444311897801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1D-483C-8758-AC0890EAE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708104"/>
        <c:axId val="408710152"/>
      </c:scatterChart>
      <c:valAx>
        <c:axId val="408708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Phase angle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710152"/>
        <c:crosses val="autoZero"/>
        <c:crossBetween val="midCat"/>
      </c:valAx>
      <c:valAx>
        <c:axId val="408710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708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640080</xdr:colOff>
      <xdr:row>7</xdr:row>
      <xdr:rowOff>7620</xdr:rowOff>
    </xdr:from>
    <xdr:to>
      <xdr:col>7</xdr:col>
      <xdr:colOff>205740</xdr:colOff>
      <xdr:row>27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E65D41-CCA2-4EA7-8944-0D57665647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548640</xdr:colOff>
      <xdr:row>2</xdr:row>
      <xdr:rowOff>45720</xdr:rowOff>
    </xdr:from>
    <xdr:to>
      <xdr:col>15</xdr:col>
      <xdr:colOff>243840</xdr:colOff>
      <xdr:row>17</xdr:row>
      <xdr:rowOff>45720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E657DC6-20C0-4739-876F-BF8185DFC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152400</xdr:rowOff>
    </xdr:from>
    <xdr:to>
      <xdr:col>5</xdr:col>
      <xdr:colOff>504825</xdr:colOff>
      <xdr:row>23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E8E19E-1F3D-83EC-B954-95CF2EFA5D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704850</xdr:colOff>
      <xdr:row>12</xdr:row>
      <xdr:rowOff>66675</xdr:rowOff>
    </xdr:from>
    <xdr:to>
      <xdr:col>7</xdr:col>
      <xdr:colOff>400050</xdr:colOff>
      <xdr:row>26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4D266E-6B0E-D51D-EEE6-F7234E989A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7107-5ABA-4AE5-8A45-99FCDAF80101}">
  <dimension ref="A1:E6"/>
  <sheetViews>
    <sheetView workbookViewId="0">
      <selection activeCell="J23" sqref="J23"/>
    </sheetView>
  </sheetViews>
  <sheetFormatPr defaultRowHeight="14.45"/>
  <cols>
    <col min="1" max="1" width="8.85546875" customWidth="1"/>
    <col min="3" max="3" width="25.140625" customWidth="1"/>
    <col min="4" max="4" width="14.28515625" customWidth="1"/>
    <col min="5" max="5" width="11.57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</v>
      </c>
      <c r="B2">
        <v>0</v>
      </c>
      <c r="C2">
        <f>SQRT(A2^2 + B2^2)</f>
        <v>100</v>
      </c>
      <c r="D2">
        <f>A2/C2</f>
        <v>1</v>
      </c>
      <c r="E2" t="str">
        <f>IF(D2&lt;0.8,"⚠️ Low PF","Good")</f>
        <v>Good</v>
      </c>
    </row>
    <row r="3" spans="1:5">
      <c r="A3">
        <v>100</v>
      </c>
      <c r="B3">
        <v>50</v>
      </c>
      <c r="C3">
        <f t="shared" ref="C3:C6" si="0">SQRT(A3^2 + B3^2)</f>
        <v>111.80339887498948</v>
      </c>
      <c r="D3">
        <f t="shared" ref="D3:D6" si="1">A3/C3</f>
        <v>0.89442719099991586</v>
      </c>
      <c r="E3" t="str">
        <f t="shared" ref="E3:E6" si="2">IF(D3&lt;0.8,"⚠️ Low PF","Good")</f>
        <v>Good</v>
      </c>
    </row>
    <row r="4" spans="1:5">
      <c r="A4">
        <v>100</v>
      </c>
      <c r="B4">
        <v>100</v>
      </c>
      <c r="C4">
        <f t="shared" si="0"/>
        <v>141.42135623730951</v>
      </c>
      <c r="D4">
        <f t="shared" si="1"/>
        <v>0.70710678118654746</v>
      </c>
      <c r="E4" t="str">
        <f t="shared" si="2"/>
        <v>⚠️ Low PF</v>
      </c>
    </row>
    <row r="5" spans="1:5">
      <c r="A5">
        <v>100</v>
      </c>
      <c r="B5">
        <v>150</v>
      </c>
      <c r="C5">
        <f t="shared" si="0"/>
        <v>180.27756377319946</v>
      </c>
      <c r="D5">
        <f t="shared" si="1"/>
        <v>0.55470019622522915</v>
      </c>
      <c r="E5" t="str">
        <f t="shared" si="2"/>
        <v>⚠️ Low PF</v>
      </c>
    </row>
    <row r="6" spans="1:5">
      <c r="A6">
        <v>100</v>
      </c>
      <c r="B6">
        <v>200</v>
      </c>
      <c r="C6">
        <f t="shared" si="0"/>
        <v>223.60679774997897</v>
      </c>
      <c r="D6">
        <f t="shared" si="1"/>
        <v>0.44721359549995793</v>
      </c>
      <c r="E6" t="str">
        <f t="shared" si="2"/>
        <v>⚠️ Low PF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BC7F9-AC62-45F3-B3E1-1E213A6144BA}">
  <dimension ref="A1:C6"/>
  <sheetViews>
    <sheetView workbookViewId="0">
      <selection activeCell="G8" sqref="G8"/>
    </sheetView>
  </sheetViews>
  <sheetFormatPr defaultRowHeight="15"/>
  <cols>
    <col min="1" max="1" width="12.140625" customWidth="1"/>
    <col min="2" max="2" width="12.85546875" customWidth="1"/>
    <col min="3" max="3" width="17.7109375" customWidth="1"/>
  </cols>
  <sheetData>
    <row r="1" spans="1:3">
      <c r="A1" t="s">
        <v>0</v>
      </c>
      <c r="B1" t="s">
        <v>5</v>
      </c>
      <c r="C1" t="s">
        <v>1</v>
      </c>
    </row>
    <row r="2" spans="1:3">
      <c r="A2">
        <v>100</v>
      </c>
      <c r="B2">
        <v>0</v>
      </c>
      <c r="C2">
        <f>A2*TAN(RADIANS(B2))</f>
        <v>0</v>
      </c>
    </row>
    <row r="3" spans="1:3">
      <c r="A3">
        <v>100</v>
      </c>
      <c r="B3">
        <v>10</v>
      </c>
      <c r="C3">
        <f t="shared" ref="C3:C6" si="0">A3*TAN(RADIANS(B3))</f>
        <v>17.632698070846498</v>
      </c>
    </row>
    <row r="4" spans="1:3">
      <c r="A4">
        <v>100</v>
      </c>
      <c r="B4">
        <v>20</v>
      </c>
      <c r="C4">
        <f t="shared" si="0"/>
        <v>36.397023426620237</v>
      </c>
    </row>
    <row r="5" spans="1:3">
      <c r="A5">
        <v>100</v>
      </c>
      <c r="B5">
        <v>30</v>
      </c>
      <c r="C5">
        <f t="shared" si="0"/>
        <v>57.735026918962575</v>
      </c>
    </row>
    <row r="6" spans="1:3">
      <c r="A6">
        <v>100</v>
      </c>
      <c r="B6">
        <v>40</v>
      </c>
      <c r="C6">
        <f t="shared" si="0"/>
        <v>83.909963117727997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27635-C5EC-4333-8FC9-8E015B9F7CF4}">
  <dimension ref="A1:B6"/>
  <sheetViews>
    <sheetView tabSelected="1" workbookViewId="0">
      <selection activeCell="C32" sqref="C32"/>
    </sheetView>
  </sheetViews>
  <sheetFormatPr defaultRowHeight="15"/>
  <cols>
    <col min="1" max="1" width="12" bestFit="1" customWidth="1"/>
    <col min="2" max="2" width="15.42578125" bestFit="1" customWidth="1"/>
  </cols>
  <sheetData>
    <row r="1" spans="1:2">
      <c r="A1" t="s">
        <v>6</v>
      </c>
      <c r="B1" t="s">
        <v>7</v>
      </c>
    </row>
    <row r="2" spans="1:2">
      <c r="A2">
        <v>0</v>
      </c>
      <c r="B2">
        <f>COS(RADIANS(A2))</f>
        <v>1</v>
      </c>
    </row>
    <row r="3" spans="1:2">
      <c r="A3">
        <v>10</v>
      </c>
      <c r="B3">
        <f t="shared" ref="B3:B6" si="0">COS(RADIANS(A3))</f>
        <v>0.98480775301220802</v>
      </c>
    </row>
    <row r="4" spans="1:2">
      <c r="A4">
        <v>20</v>
      </c>
      <c r="B4">
        <f t="shared" si="0"/>
        <v>0.93969262078590843</v>
      </c>
    </row>
    <row r="5" spans="1:2">
      <c r="A5">
        <v>30</v>
      </c>
      <c r="B5">
        <f t="shared" si="0"/>
        <v>0.86602540378443871</v>
      </c>
    </row>
    <row r="6" spans="1:2">
      <c r="A6">
        <v>40</v>
      </c>
      <c r="B6">
        <f t="shared" si="0"/>
        <v>0.76604444311897801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KEERTHI</dc:creator>
  <cp:keywords/>
  <dc:description/>
  <cp:lastModifiedBy>dhanasrikeerthi.5376@gmail.com</cp:lastModifiedBy>
  <cp:revision/>
  <dcterms:created xsi:type="dcterms:W3CDTF">2026-03-31T06:15:59Z</dcterms:created>
  <dcterms:modified xsi:type="dcterms:W3CDTF">2026-04-02T05:10:31Z</dcterms:modified>
  <cp:category/>
  <cp:contentStatus/>
</cp:coreProperties>
</file>