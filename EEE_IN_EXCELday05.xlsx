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1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1279af66488d3167/Documents/"/>
    </mc:Choice>
  </mc:AlternateContent>
  <xr:revisionPtr revIDLastSave="0" documentId="8_{639BC349-8660-40CE-BEC0-2BB0E2FD9D45}" xr6:coauthVersionLast="45" xr6:coauthVersionMax="45" xr10:uidLastSave="{00000000-0000-0000-0000-000000000000}"/>
  <bookViews>
    <workbookView xWindow="-108" yWindow="-108" windowWidth="23256" windowHeight="12456" xr2:uid="{C5CC50A4-A84B-4664-8DDA-9AE2E9E2A14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2" i="1" l="1"/>
  <c r="D3" i="1"/>
  <c r="D4" i="1"/>
  <c r="D5" i="1" s="1"/>
</calcChain>
</file>

<file path=xl/sharedStrings.xml><?xml version="1.0" encoding="utf-8"?>
<sst xmlns="http://schemas.openxmlformats.org/spreadsheetml/2006/main" count="19" uniqueCount="18">
  <si>
    <t>load [kW]=</t>
  </si>
  <si>
    <t>Current PF =</t>
  </si>
  <si>
    <t>Desired PF =</t>
  </si>
  <si>
    <t>Supply Voltage [V] =</t>
  </si>
  <si>
    <t>Current Q (Q₁)</t>
  </si>
  <si>
    <t>Desired Q (Q₂)</t>
  </si>
  <si>
    <t>Capacitor Q (Qc)</t>
  </si>
  <si>
    <t>Capacitance C μF (3Φ)</t>
  </si>
  <si>
    <t>Frequency [Hz] =</t>
  </si>
  <si>
    <t xml:space="preserve">Parameters </t>
  </si>
  <si>
    <t xml:space="preserve">values </t>
  </si>
  <si>
    <t xml:space="preserve">Calculating parameters </t>
  </si>
  <si>
    <t>formulae</t>
  </si>
  <si>
    <t>B2*TAN(ACOS(B3))</t>
  </si>
  <si>
    <t>B2*TAN(ACOS(B4))</t>
  </si>
  <si>
    <t>D2-D3</t>
  </si>
  <si>
    <t>(D4*1000)/(3*2*PI()*B5^2*B6)*10^6</t>
  </si>
  <si>
    <t>Done by keerthi kamineni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</si>
</sst>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Parameters</a:t>
            </a:r>
            <a:r>
              <a:rPr lang="en-US" baseline="0"/>
              <a:t> values </a:t>
            </a:r>
            <a:r>
              <a:rPr lang="en-US"/>
              <a:t>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23188779527559056"/>
          <c:y val="0.1115277777777778"/>
          <c:w val="0.70466776027996503"/>
          <c:h val="0.72088764946048411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Sheet1!$B$1</c:f>
              <c:strCache>
                <c:ptCount val="1"/>
                <c:pt idx="0">
                  <c:v>values 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Sheet1!$A$2:$A$6</c:f>
              <c:strCache>
                <c:ptCount val="5"/>
                <c:pt idx="0">
                  <c:v>load [kW]=</c:v>
                </c:pt>
                <c:pt idx="1">
                  <c:v>Current PF =</c:v>
                </c:pt>
                <c:pt idx="2">
                  <c:v>Desired PF =</c:v>
                </c:pt>
                <c:pt idx="3">
                  <c:v>Supply Voltage [V] =</c:v>
                </c:pt>
                <c:pt idx="4">
                  <c:v>Frequency [Hz] =</c:v>
                </c:pt>
              </c:strCache>
            </c:strRef>
          </c:cat>
          <c:val>
            <c:numRef>
              <c:f>Sheet1!$B$2:$B$6</c:f>
              <c:numCache>
                <c:formatCode>General</c:formatCode>
                <c:ptCount val="5"/>
                <c:pt idx="0">
                  <c:v>50</c:v>
                </c:pt>
                <c:pt idx="1">
                  <c:v>0.7</c:v>
                </c:pt>
                <c:pt idx="2">
                  <c:v>0.95</c:v>
                </c:pt>
                <c:pt idx="3">
                  <c:v>400</c:v>
                </c:pt>
                <c:pt idx="4">
                  <c:v>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E45-40C3-9632-87BC2DEB399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600883704"/>
        <c:axId val="600884032"/>
      </c:barChart>
      <c:catAx>
        <c:axId val="60088370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00884032"/>
        <c:crosses val="autoZero"/>
        <c:auto val="1"/>
        <c:lblAlgn val="ctr"/>
        <c:lblOffset val="100"/>
        <c:noMultiLvlLbl val="0"/>
      </c:catAx>
      <c:valAx>
        <c:axId val="60088403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0088370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Reactive</a:t>
            </a:r>
            <a:r>
              <a:rPr lang="en-IN" baseline="0"/>
              <a:t> power </a:t>
            </a:r>
            <a:endParaRPr lang="en-IN"/>
          </a:p>
        </c:rich>
      </c:tx>
      <c:layout>
        <c:manualLayout>
          <c:xMode val="edge"/>
          <c:yMode val="edge"/>
          <c:x val="0.38346738310071754"/>
          <c:y val="2.3148148148148147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Sheet1!$C$2:$C$3</c:f>
              <c:strCache>
                <c:ptCount val="2"/>
                <c:pt idx="0">
                  <c:v>Current Q (Q₁)</c:v>
                </c:pt>
                <c:pt idx="1">
                  <c:v>Desired Q (Q₂)</c:v>
                </c:pt>
              </c:strCache>
            </c:strRef>
          </c:cat>
          <c:val>
            <c:numRef>
              <c:f>Sheet1!$D$2:$D$3</c:f>
              <c:numCache>
                <c:formatCode>General</c:formatCode>
                <c:ptCount val="2"/>
                <c:pt idx="0">
                  <c:v>0.71414284285428486</c:v>
                </c:pt>
                <c:pt idx="1">
                  <c:v>0.23007887362520424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747-4B78-967B-A259E426664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95925872"/>
        <c:axId val="595928824"/>
      </c:barChart>
      <c:catAx>
        <c:axId val="59592587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95928824"/>
        <c:crosses val="autoZero"/>
        <c:auto val="1"/>
        <c:lblAlgn val="ctr"/>
        <c:lblOffset val="100"/>
        <c:noMultiLvlLbl val="0"/>
      </c:catAx>
      <c:valAx>
        <c:axId val="5959288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9592587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259080</xdr:colOff>
      <xdr:row>8</xdr:row>
      <xdr:rowOff>99060</xdr:rowOff>
    </xdr:from>
    <xdr:to>
      <xdr:col>2</xdr:col>
      <xdr:colOff>1485900</xdr:colOff>
      <xdr:row>23</xdr:row>
      <xdr:rowOff>99060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4D2552B-2BB7-4FB4-BFE8-5FA8B57CE26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121920</xdr:colOff>
      <xdr:row>9</xdr:row>
      <xdr:rowOff>15240</xdr:rowOff>
    </xdr:from>
    <xdr:to>
      <xdr:col>5</xdr:col>
      <xdr:colOff>594360</xdr:colOff>
      <xdr:row>24</xdr:row>
      <xdr:rowOff>15240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EB1B8DEA-52FC-4216-97AF-D3AF735E68B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0B804A-0975-456F-9023-589806B210B9}">
  <dimension ref="A1:E25"/>
  <sheetViews>
    <sheetView tabSelected="1" workbookViewId="0">
      <selection activeCell="I6" sqref="I6"/>
    </sheetView>
  </sheetViews>
  <sheetFormatPr defaultRowHeight="14.4" x14ac:dyDescent="0.3"/>
  <cols>
    <col min="1" max="1" width="27.44140625" customWidth="1"/>
    <col min="3" max="3" width="22.6640625" customWidth="1"/>
    <col min="4" max="4" width="13" customWidth="1"/>
    <col min="5" max="5" width="30.88671875" customWidth="1"/>
    <col min="6" max="6" width="11.88671875" customWidth="1"/>
  </cols>
  <sheetData>
    <row r="1" spans="1:5" x14ac:dyDescent="0.3">
      <c r="A1" t="s">
        <v>9</v>
      </c>
      <c r="B1" t="s">
        <v>10</v>
      </c>
      <c r="C1" t="s">
        <v>11</v>
      </c>
      <c r="D1" t="s">
        <v>10</v>
      </c>
      <c r="E1" t="s">
        <v>12</v>
      </c>
    </row>
    <row r="2" spans="1:5" x14ac:dyDescent="0.3">
      <c r="A2" t="s">
        <v>0</v>
      </c>
      <c r="B2">
        <v>50</v>
      </c>
      <c r="C2" t="s">
        <v>4</v>
      </c>
      <c r="D2">
        <f>B3*TAN(ACOS(B3))</f>
        <v>0.71414284285428486</v>
      </c>
      <c r="E2" t="s">
        <v>13</v>
      </c>
    </row>
    <row r="3" spans="1:5" x14ac:dyDescent="0.3">
      <c r="A3" t="s">
        <v>1</v>
      </c>
      <c r="B3">
        <v>0.7</v>
      </c>
      <c r="C3" t="s">
        <v>5</v>
      </c>
      <c r="D3">
        <f>B3*TAN(ACOS(B4))</f>
        <v>0.23007887362520424</v>
      </c>
      <c r="E3" t="s">
        <v>14</v>
      </c>
    </row>
    <row r="4" spans="1:5" x14ac:dyDescent="0.3">
      <c r="A4" t="s">
        <v>2</v>
      </c>
      <c r="B4">
        <v>0.95</v>
      </c>
      <c r="C4" t="s">
        <v>6</v>
      </c>
      <c r="D4">
        <f>D2-D3</f>
        <v>0.48406396922908063</v>
      </c>
      <c r="E4" t="s">
        <v>15</v>
      </c>
    </row>
    <row r="5" spans="1:5" x14ac:dyDescent="0.3">
      <c r="A5" t="s">
        <v>3</v>
      </c>
      <c r="B5">
        <v>400</v>
      </c>
      <c r="C5" t="s">
        <v>7</v>
      </c>
      <c r="D5">
        <f>(D4*1000)/(3*2*PI()*B5^2*B6)*10^6</f>
        <v>3.2100488948121377</v>
      </c>
      <c r="E5" t="s">
        <v>16</v>
      </c>
    </row>
    <row r="6" spans="1:5" x14ac:dyDescent="0.3">
      <c r="A6" t="s">
        <v>8</v>
      </c>
      <c r="B6">
        <v>50</v>
      </c>
    </row>
    <row r="25" spans="5:5" x14ac:dyDescent="0.3">
      <c r="E25" s="1" t="s">
        <v>17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KEERTHI</dc:creator>
  <cp:lastModifiedBy>KEERTHI</cp:lastModifiedBy>
  <dcterms:created xsi:type="dcterms:W3CDTF">2026-04-05T08:53:23Z</dcterms:created>
  <dcterms:modified xsi:type="dcterms:W3CDTF">2026-04-05T09:32:22Z</dcterms:modified>
</cp:coreProperties>
</file>