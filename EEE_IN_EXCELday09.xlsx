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34" documentId="11_E60897F41BE170836B02CE998F75CCDC64E183C8" xr6:coauthVersionLast="47" xr6:coauthVersionMax="47" xr10:uidLastSave="{6B3189A7-8CA7-437F-83D8-00C6C17C847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  <c r="D1" i="1"/>
</calcChain>
</file>

<file path=xl/sharedStrings.xml><?xml version="1.0" encoding="utf-8"?>
<sst xmlns="http://schemas.openxmlformats.org/spreadsheetml/2006/main" count="9" uniqueCount="9">
  <si>
    <t>PF(KW)</t>
  </si>
  <si>
    <t>Initial Q (kVAR)=B1*TAN(ACOS(B2))</t>
  </si>
  <si>
    <t>Initial PF</t>
  </si>
  <si>
    <t>Desired Q (kVAR)=B1*TAN(ACOS(B3))</t>
  </si>
  <si>
    <t>Desired PF</t>
  </si>
  <si>
    <t>Capacitor Qc (kVAR)=D1-D2</t>
  </si>
  <si>
    <t>Voltage (V)</t>
  </si>
  <si>
    <t>Capacitance (μF)=(D3*1000)/(3*2*PI()*B5*B4^2)*10^6</t>
  </si>
  <si>
    <t>Frequency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</si>
</sst>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topLeftCell="B1" workbookViewId="0">
      <selection activeCell="C1" sqref="C1:C1048576"/>
    </sheetView>
  </sheetViews>
  <sheetFormatPr defaultRowHeight="15"/>
  <cols>
    <col min="1" max="1" width="14" bestFit="1" customWidth="1"/>
    <col min="3" max="3" width="47.5703125" customWidth="1"/>
  </cols>
  <sheetData>
    <row r="1" spans="1:4">
      <c r="A1" t="s">
        <v>0</v>
      </c>
      <c r="B1">
        <v>50</v>
      </c>
      <c r="C1" t="s">
        <v>1</v>
      </c>
      <c r="D1">
        <f>B1*TAN(ACOS(B2))</f>
        <v>51.010203061020356</v>
      </c>
    </row>
    <row r="2" spans="1:4">
      <c r="A2" t="s">
        <v>2</v>
      </c>
      <c r="B2">
        <v>0.7</v>
      </c>
      <c r="C2" t="s">
        <v>3</v>
      </c>
      <c r="D2">
        <f>B1*TAN(ACOS(B3))</f>
        <v>16.434205258943159</v>
      </c>
    </row>
    <row r="3" spans="1:4">
      <c r="A3" t="s">
        <v>4</v>
      </c>
      <c r="B3">
        <v>0.95</v>
      </c>
      <c r="C3" t="s">
        <v>5</v>
      </c>
      <c r="D3">
        <f>D1-D2</f>
        <v>34.575997802077197</v>
      </c>
    </row>
    <row r="4" spans="1:4" ht="30.75">
      <c r="A4" t="s">
        <v>6</v>
      </c>
      <c r="B4">
        <v>400</v>
      </c>
      <c r="C4" s="1" t="s">
        <v>7</v>
      </c>
      <c r="D4">
        <f>(D3*1000)/(3*2*PI()*B5*B4^2)*10^6</f>
        <v>229.28920677229561</v>
      </c>
    </row>
    <row r="5" spans="1:4">
      <c r="A5" t="s">
        <v>8</v>
      </c>
      <c r="B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dhanasrikeerthi.5376@gmail.com</cp:lastModifiedBy>
  <cp:revision/>
  <dcterms:created xsi:type="dcterms:W3CDTF">2026-04-10T08:43:13Z</dcterms:created>
  <dcterms:modified xsi:type="dcterms:W3CDTF">2026-04-10T08:56:37Z</dcterms:modified>
  <cp:category/>
  <cp:contentStatus/>
</cp:coreProperties>
</file>