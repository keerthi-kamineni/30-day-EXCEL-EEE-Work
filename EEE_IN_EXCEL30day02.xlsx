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36" documentId="8_{91D447A5-AB5D-4140-99A2-708B54886BB1}" xr6:coauthVersionLast="47" xr6:coauthVersionMax="47" xr10:uidLastSave="{281E2CE6-337C-4167-BB86-D095F450896B}"/>
  <bookViews>
    <workbookView xWindow="-108" yWindow="-108" windowWidth="23256" windowHeight="12456" firstSheet="1" activeTab="1" xr2:uid="{D8A7FED7-F807-45DB-B1AB-C627A34C97E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2" i="1"/>
  <c r="D2" i="1" s="1"/>
  <c r="E2" i="1" s="1"/>
</calcChain>
</file>

<file path=xl/sharedStrings.xml><?xml version="1.0" encoding="utf-8"?>
<sst xmlns="http://schemas.openxmlformats.org/spreadsheetml/2006/main" count="8" uniqueCount="6">
  <si>
    <t>P(KW)</t>
  </si>
  <si>
    <t>Q(KVAR)</t>
  </si>
  <si>
    <t>S(KVA)=(</t>
  </si>
  <si>
    <t>POWER FACTOR</t>
  </si>
  <si>
    <t>STATUS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</si>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</sst>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</a:t>
            </a:r>
            <a:r>
              <a:rPr lang="en-IN" baseline="0"/>
              <a:t> vs Power Factor</a:t>
            </a:r>
            <a:endParaRPr lang="en-IN"/>
          </a:p>
        </c:rich>
      </c:tx>
      <c:layout>
        <c:manualLayout>
          <c:xMode val="edge"/>
          <c:yMode val="edge"/>
          <c:x val="0.40949300087489071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8-4A0B-A002-F4076BED05F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Q(KVAR)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8-4A0B-A002-F4076BED05F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S(KVA)=(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111.80339887498948</c:v>
                </c:pt>
                <c:pt idx="2">
                  <c:v>141.42135623730951</c:v>
                </c:pt>
                <c:pt idx="3">
                  <c:v>180.27756377319946</c:v>
                </c:pt>
                <c:pt idx="4">
                  <c:v>223.60679774997897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8-4A0B-A002-F4076BED05F1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B8-4A0B-A002-F4076BED05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9203992"/>
        <c:axId val="6087073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STATUS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BB8-4A0B-A002-F4076BED05F1}"/>
                  </c:ext>
                </c:extLst>
              </c15:ser>
            </c15:filteredLineSeries>
          </c:ext>
        </c:extLst>
      </c:lineChart>
      <c:catAx>
        <c:axId val="26920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factor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7360"/>
        <c:crosses val="autoZero"/>
        <c:auto val="1"/>
        <c:lblAlgn val="ctr"/>
        <c:lblOffset val="100"/>
        <c:noMultiLvlLbl val="0"/>
      </c:catAx>
      <c:valAx>
        <c:axId val="6087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Q</a:t>
                </a:r>
                <a:r>
                  <a:rPr lang="en-IN" baseline="0"/>
                  <a:t> Reactive power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039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E-4E31-B368-8EB6732AE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98416"/>
        <c:axId val="693496448"/>
      </c:scatterChart>
      <c:valAx>
        <c:axId val="6934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6448"/>
        <c:crosses val="autoZero"/>
        <c:crossBetween val="midCat"/>
      </c:valAx>
      <c:valAx>
        <c:axId val="6934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 vs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Q(KVAR)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Sheet2!$B$2:$B$6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0</c:v>
                </c:pt>
                <c:pt idx="1">
                  <c:v>17.632698070846498</c:v>
                </c:pt>
                <c:pt idx="2">
                  <c:v>36.397023426620237</c:v>
                </c:pt>
                <c:pt idx="3">
                  <c:v>57.735026918962575</c:v>
                </c:pt>
                <c:pt idx="4">
                  <c:v>83.909963117727997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9-4AFD-8471-D2EC45346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701512"/>
        <c:axId val="1727703560"/>
      </c:scatterChart>
      <c:valAx>
        <c:axId val="172770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03560"/>
        <c:crosses val="autoZero"/>
        <c:crossBetween val="midCat"/>
      </c:valAx>
      <c:valAx>
        <c:axId val="17277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(KVAR)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01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7</xdr:row>
      <xdr:rowOff>7620</xdr:rowOff>
    </xdr:from>
    <xdr:to>
      <xdr:col>7</xdr:col>
      <xdr:colOff>205740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65D41-CCA2-4EA7-8944-0D5766564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2</xdr:row>
      <xdr:rowOff>45720</xdr:rowOff>
    </xdr:from>
    <xdr:to>
      <xdr:col>15</xdr:col>
      <xdr:colOff>243840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657DC6-20C0-4739-876F-BF8185DF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5</xdr:col>
      <xdr:colOff>504825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8E19E-1F3D-83EC-B954-95CF2EFA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7107-5ABA-4AE5-8A45-99FCDAF80101}">
  <dimension ref="A1:E6"/>
  <sheetViews>
    <sheetView workbookViewId="0">
      <selection activeCell="J23" sqref="J23"/>
    </sheetView>
  </sheetViews>
  <sheetFormatPr defaultRowHeight="14.45"/>
  <cols>
    <col min="1" max="1" width="8.85546875" customWidth="1"/>
    <col min="3" max="3" width="25.140625" customWidth="1"/>
    <col min="4" max="4" width="14.28515625" customWidth="1"/>
    <col min="5" max="5" width="11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>
        <v>0</v>
      </c>
      <c r="C2">
        <f>SQRT(A2^2 + B2^2)</f>
        <v>100</v>
      </c>
      <c r="D2">
        <f>A2/C2</f>
        <v>1</v>
      </c>
      <c r="E2" t="str">
        <f>IF(D2&lt;0.8,"⚠️ Low PF","Good")</f>
        <v>Good</v>
      </c>
    </row>
    <row r="3" spans="1:5">
      <c r="A3">
        <v>100</v>
      </c>
      <c r="B3">
        <v>50</v>
      </c>
      <c r="C3">
        <f t="shared" ref="C3:C6" si="0">SQRT(A3^2 + B3^2)</f>
        <v>111.80339887498948</v>
      </c>
      <c r="D3">
        <f t="shared" ref="D3:D6" si="1">A3/C3</f>
        <v>0.89442719099991586</v>
      </c>
      <c r="E3" t="str">
        <f t="shared" ref="E3:E6" si="2">IF(D3&lt;0.8,"⚠️ Low PF","Good")</f>
        <v>Good</v>
      </c>
    </row>
    <row r="4" spans="1:5">
      <c r="A4">
        <v>100</v>
      </c>
      <c r="B4">
        <v>100</v>
      </c>
      <c r="C4">
        <f t="shared" si="0"/>
        <v>141.42135623730951</v>
      </c>
      <c r="D4">
        <f t="shared" si="1"/>
        <v>0.70710678118654746</v>
      </c>
      <c r="E4" t="str">
        <f t="shared" si="2"/>
        <v>⚠️ Low PF</v>
      </c>
    </row>
    <row r="5" spans="1:5">
      <c r="A5">
        <v>100</v>
      </c>
      <c r="B5">
        <v>150</v>
      </c>
      <c r="C5">
        <f t="shared" si="0"/>
        <v>180.27756377319946</v>
      </c>
      <c r="D5">
        <f t="shared" si="1"/>
        <v>0.55470019622522915</v>
      </c>
      <c r="E5" t="str">
        <f t="shared" si="2"/>
        <v>⚠️ Low PF</v>
      </c>
    </row>
    <row r="6" spans="1:5">
      <c r="A6">
        <v>100</v>
      </c>
      <c r="B6">
        <v>200</v>
      </c>
      <c r="C6">
        <f t="shared" si="0"/>
        <v>223.60679774997897</v>
      </c>
      <c r="D6">
        <f t="shared" si="1"/>
        <v>0.44721359549995793</v>
      </c>
      <c r="E6" t="str">
        <f t="shared" si="2"/>
        <v>⚠️ Low PF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C7F9-AC62-45F3-B3E1-1E213A6144BA}">
  <dimension ref="A1:C6"/>
  <sheetViews>
    <sheetView tabSelected="1" workbookViewId="0">
      <selection activeCell="G8" sqref="G8"/>
    </sheetView>
  </sheetViews>
  <sheetFormatPr defaultRowHeight="15"/>
  <cols>
    <col min="1" max="1" width="12.140625" customWidth="1"/>
    <col min="2" max="2" width="12.85546875" customWidth="1"/>
    <col min="3" max="3" width="17.7109375" customWidth="1"/>
  </cols>
  <sheetData>
    <row r="1" spans="1:3">
      <c r="A1" t="s">
        <v>0</v>
      </c>
      <c r="B1" t="s">
        <v>5</v>
      </c>
      <c r="C1" t="s">
        <v>1</v>
      </c>
    </row>
    <row r="2" spans="1:3">
      <c r="A2">
        <v>100</v>
      </c>
      <c r="B2">
        <v>0</v>
      </c>
      <c r="C2">
        <f>A2*TAN(RADIANS(B2))</f>
        <v>0</v>
      </c>
    </row>
    <row r="3" spans="1:3">
      <c r="A3">
        <v>100</v>
      </c>
      <c r="B3">
        <v>10</v>
      </c>
      <c r="C3">
        <f t="shared" ref="C3:C6" si="0">A3*TAN(RADIANS(B3))</f>
        <v>17.632698070846498</v>
      </c>
    </row>
    <row r="4" spans="1:3">
      <c r="A4">
        <v>100</v>
      </c>
      <c r="B4">
        <v>20</v>
      </c>
      <c r="C4">
        <f t="shared" si="0"/>
        <v>36.397023426620237</v>
      </c>
    </row>
    <row r="5" spans="1:3">
      <c r="A5">
        <v>100</v>
      </c>
      <c r="B5">
        <v>30</v>
      </c>
      <c r="C5">
        <f t="shared" si="0"/>
        <v>57.735026918962575</v>
      </c>
    </row>
    <row r="6" spans="1:3">
      <c r="A6">
        <v>100</v>
      </c>
      <c r="B6">
        <v>40</v>
      </c>
      <c r="C6">
        <f t="shared" si="0"/>
        <v>83.909963117727997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</dc:creator>
  <cp:keywords/>
  <dc:description/>
  <cp:lastModifiedBy>dhanasrikeerthi.5376@gmail.com</cp:lastModifiedBy>
  <cp:revision/>
  <dcterms:created xsi:type="dcterms:W3CDTF">2026-03-31T06:15:59Z</dcterms:created>
  <dcterms:modified xsi:type="dcterms:W3CDTF">2026-04-02T04:53:28Z</dcterms:modified>
  <cp:category/>
  <cp:contentStatus/>
</cp:coreProperties>
</file>