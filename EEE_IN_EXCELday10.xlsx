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79af66488d3167/Documents/"/>
    </mc:Choice>
  </mc:AlternateContent>
  <xr:revisionPtr revIDLastSave="0" documentId="8_{D935D19A-3975-4FAA-8FDC-43F930827468}" xr6:coauthVersionLast="45" xr6:coauthVersionMax="45" xr10:uidLastSave="{00000000-0000-0000-0000-000000000000}"/>
  <bookViews>
    <workbookView xWindow="-108" yWindow="-108" windowWidth="23256" windowHeight="12456" xr2:uid="{4C02F626-C0CF-480A-AF5E-FC2C63EBBD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4" i="1"/>
  <c r="D3" i="1"/>
  <c r="D2" i="1"/>
  <c r="D1" i="1"/>
</calcChain>
</file>

<file path=xl/sharedStrings.xml><?xml version="1.0" encoding="utf-8"?>
<sst xmlns="http://schemas.openxmlformats.org/spreadsheetml/2006/main" count="10" uniqueCount="10">
  <si>
    <t>Power (kW)</t>
  </si>
  <si>
    <t>Voltage (V)</t>
  </si>
  <si>
    <t>Power Factor</t>
  </si>
  <si>
    <t>Resistance (Ω)</t>
  </si>
  <si>
    <t>(Line Current)=(B1*1000)/(SQRT(3)*B2*B3)</t>
  </si>
  <si>
    <t>(Loss in watts)=3*(D1^2)*B4</t>
  </si>
  <si>
    <t>Receiving End Power=B1*1000</t>
  </si>
  <si>
    <t>Sending End Power=D3+D2</t>
  </si>
  <si>
    <t>Efficiency=(D3/D4)*100</t>
  </si>
  <si>
    <t xml:space="preserve">Done by keerthi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</si>
</sst>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Sheet1!$C$1:$C$5</c:f>
              <c:strCache>
                <c:ptCount val="5"/>
                <c:pt idx="0">
                  <c:v>(Line Current)=(B1*1000)/(SQRT(3)*B2*B3)</c:v>
                </c:pt>
                <c:pt idx="1">
                  <c:v>(Loss in watts)=3*(D1^2)*B4</c:v>
                </c:pt>
                <c:pt idx="2">
                  <c:v>Receiving End Power=B1*1000</c:v>
                </c:pt>
                <c:pt idx="3">
                  <c:v>Sending End Power=D3+D2</c:v>
                </c:pt>
                <c:pt idx="4">
                  <c:v>Efficiency=(D3/D4)*100</c:v>
                </c:pt>
              </c:strCache>
            </c:strRef>
          </c:cat>
          <c:val>
            <c:numRef>
              <c:f>Sheet1!$D$1:$D$5</c:f>
              <c:numCache>
                <c:formatCode>General</c:formatCode>
                <c:ptCount val="5"/>
                <c:pt idx="0">
                  <c:v>90.210979560879011</c:v>
                </c:pt>
                <c:pt idx="1">
                  <c:v>48828.124999999985</c:v>
                </c:pt>
                <c:pt idx="2">
                  <c:v>50000</c:v>
                </c:pt>
                <c:pt idx="3">
                  <c:v>98828.124999999985</c:v>
                </c:pt>
                <c:pt idx="4">
                  <c:v>50.592885375494077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76-4FC0-869B-06311B4BB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1271960"/>
        <c:axId val="561272288"/>
      </c:barChart>
      <c:catAx>
        <c:axId val="561271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272288"/>
        <c:crosses val="autoZero"/>
        <c:auto val="1"/>
        <c:lblAlgn val="ctr"/>
        <c:lblOffset val="100"/>
        <c:noMultiLvlLbl val="0"/>
      </c:catAx>
      <c:valAx>
        <c:axId val="561272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271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Sheet1!$A$1:$A$5</c:f>
              <c:strCache>
                <c:ptCount val="4"/>
                <c:pt idx="0">
                  <c:v>Power (kW)</c:v>
                </c:pt>
                <c:pt idx="1">
                  <c:v>Voltage (V)</c:v>
                </c:pt>
                <c:pt idx="2">
                  <c:v>Power Factor</c:v>
                </c:pt>
                <c:pt idx="3">
                  <c:v>Resistance (Ω)</c:v>
                </c:pt>
              </c:strCache>
            </c:strRef>
          </c:cat>
          <c:val>
            <c:numRef>
              <c:f>Sheet1!$B$1:$B$5</c:f>
              <c:numCache>
                <c:formatCode>General</c:formatCode>
                <c:ptCount val="5"/>
                <c:pt idx="0">
                  <c:v>50</c:v>
                </c:pt>
                <c:pt idx="1">
                  <c:v>400</c:v>
                </c:pt>
                <c:pt idx="2">
                  <c:v>0.8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95-4B64-A3BD-3AA67E654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5559792"/>
        <c:axId val="435560120"/>
      </c:barChart>
      <c:catAx>
        <c:axId val="43555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560120"/>
        <c:crosses val="autoZero"/>
        <c:auto val="1"/>
        <c:lblAlgn val="ctr"/>
        <c:lblOffset val="100"/>
        <c:noMultiLvlLbl val="0"/>
      </c:catAx>
      <c:valAx>
        <c:axId val="435560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55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6</xdr:row>
      <xdr:rowOff>167640</xdr:rowOff>
    </xdr:from>
    <xdr:to>
      <xdr:col>2</xdr:col>
      <xdr:colOff>1897380</xdr:colOff>
      <xdr:row>21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DB1A2C-7765-4443-84BE-0E154C3D65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1996440</xdr:colOff>
      <xdr:row>7</xdr:row>
      <xdr:rowOff>0</xdr:rowOff>
    </xdr:from>
    <xdr:to>
      <xdr:col>7</xdr:col>
      <xdr:colOff>304800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361579-5E95-4BE0-82BB-4763C7F4C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A469C-3505-468F-B680-23EB254F594B}">
  <dimension ref="A1:D23"/>
  <sheetViews>
    <sheetView tabSelected="1" workbookViewId="0">
      <selection activeCell="C26" sqref="C26"/>
    </sheetView>
  </sheetViews>
  <sheetFormatPr defaultRowHeight="14.4" x14ac:dyDescent="0.3"/>
  <cols>
    <col min="1" max="1" width="12.21875" customWidth="1"/>
    <col min="3" max="3" width="39" customWidth="1"/>
  </cols>
  <sheetData>
    <row r="1" spans="1:4" x14ac:dyDescent="0.3">
      <c r="A1" t="s">
        <v>0</v>
      </c>
      <c r="B1">
        <v>50</v>
      </c>
      <c r="C1" t="s">
        <v>4</v>
      </c>
      <c r="D1">
        <f>(B1*1000)/(SQRT(3)*B2*B3)</f>
        <v>90.210979560879011</v>
      </c>
    </row>
    <row r="2" spans="1:4" x14ac:dyDescent="0.3">
      <c r="A2" t="s">
        <v>1</v>
      </c>
      <c r="B2">
        <v>400</v>
      </c>
      <c r="C2" t="s">
        <v>5</v>
      </c>
      <c r="D2">
        <f>3*(D1^2)*B4</f>
        <v>48828.124999999985</v>
      </c>
    </row>
    <row r="3" spans="1:4" x14ac:dyDescent="0.3">
      <c r="A3" t="s">
        <v>2</v>
      </c>
      <c r="B3">
        <v>0.8</v>
      </c>
      <c r="C3" t="s">
        <v>6</v>
      </c>
      <c r="D3">
        <f>B1*1000</f>
        <v>50000</v>
      </c>
    </row>
    <row r="4" spans="1:4" x14ac:dyDescent="0.3">
      <c r="A4" t="s">
        <v>3</v>
      </c>
      <c r="B4">
        <v>2</v>
      </c>
      <c r="C4" t="s">
        <v>7</v>
      </c>
      <c r="D4">
        <f>D3+D2</f>
        <v>98828.124999999985</v>
      </c>
    </row>
    <row r="5" spans="1:4" x14ac:dyDescent="0.3">
      <c r="C5" t="s">
        <v>8</v>
      </c>
      <c r="D5">
        <f>(D3/D4)*100</f>
        <v>50.592885375494077</v>
      </c>
    </row>
    <row r="23" spans="3:3" x14ac:dyDescent="0.3">
      <c r="C23" s="1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</dc:creator>
  <cp:lastModifiedBy>KEERTHI</cp:lastModifiedBy>
  <dcterms:created xsi:type="dcterms:W3CDTF">2026-04-12T12:50:02Z</dcterms:created>
  <dcterms:modified xsi:type="dcterms:W3CDTF">2026-04-12T12:59:29Z</dcterms:modified>
</cp:coreProperties>
</file>