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DC210231-A829-4992-9B06-3C068A7C6341}" xr6:coauthVersionLast="45" xr6:coauthVersionMax="45" xr10:uidLastSave="{00000000-0000-0000-0000-000000000000}"/>
  <bookViews>
    <workbookView xWindow="-108" yWindow="-108" windowWidth="23256" windowHeight="12456" xr2:uid="{E4CF035F-2ED9-49AE-BD1C-32A925280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2" i="1"/>
  <c r="B3" i="1"/>
  <c r="C3" i="1" s="1"/>
  <c r="B4" i="1"/>
  <c r="B5" i="1"/>
  <c r="B6" i="1"/>
  <c r="B7" i="1"/>
  <c r="B2" i="1"/>
</calcChain>
</file>

<file path=xl/sharedStrings.xml><?xml version="1.0" encoding="utf-8"?>
<sst xmlns="http://schemas.openxmlformats.org/spreadsheetml/2006/main" count="6" uniqueCount="6">
  <si>
    <t>PF</t>
  </si>
  <si>
    <t>Power (kW)</t>
  </si>
  <si>
    <t>Voltage (V)</t>
  </si>
  <si>
    <t>Line Current (I)=($C$2*1000)/(SQRT(3)*$D$2*A2)</t>
  </si>
  <si>
    <t>Resistance (Ω)</t>
  </si>
  <si>
    <t>Copper Loss (I²)=B2^2*$F$2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</si>
</sst>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Copper Loss</a:t>
            </a:r>
            <a:r>
              <a:rPr lang="en-IN" baseline="0"/>
              <a:t> vs line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Copper Loss (I²)=B2^2*$F$2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</c:f>
              <c:numCache>
                <c:formatCode>General</c:formatCode>
                <c:ptCount val="6"/>
                <c:pt idx="0">
                  <c:v>144.33756729740645</c:v>
                </c:pt>
                <c:pt idx="1">
                  <c:v>120.28130608117205</c:v>
                </c:pt>
                <c:pt idx="2">
                  <c:v>103.09826235529032</c:v>
                </c:pt>
                <c:pt idx="3">
                  <c:v>90.210979560879011</c:v>
                </c:pt>
                <c:pt idx="4">
                  <c:v>80.187537387448018</c:v>
                </c:pt>
                <c:pt idx="5">
                  <c:v>72.168783648703226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41666.666666666672</c:v>
                </c:pt>
                <c:pt idx="1">
                  <c:v>28935.185185185193</c:v>
                </c:pt>
                <c:pt idx="2">
                  <c:v>21258.503401360544</c:v>
                </c:pt>
                <c:pt idx="3">
                  <c:v>16276.041666666661</c:v>
                </c:pt>
                <c:pt idx="4">
                  <c:v>12860.082304526748</c:v>
                </c:pt>
                <c:pt idx="5">
                  <c:v>10416.666666666668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7-4648-890D-31A7AB49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30032"/>
        <c:axId val="630933968"/>
      </c:scatterChart>
      <c:valAx>
        <c:axId val="63093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33968"/>
        <c:crosses val="autoZero"/>
        <c:crossBetween val="midCat"/>
      </c:valAx>
      <c:valAx>
        <c:axId val="6309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3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1051560</xdr:colOff>
      <xdr:row>9</xdr:row>
      <xdr:rowOff>114300</xdr:rowOff>
    </xdr:from>
    <xdr:to>
      <xdr:col>4</xdr:col>
      <xdr:colOff>304800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0AE35-776B-4E0D-8827-EB7BC605B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48F3-4BE1-4DED-B667-0D9214CE3282}">
  <dimension ref="A1:F7"/>
  <sheetViews>
    <sheetView tabSelected="1" workbookViewId="0">
      <selection activeCell="H8" sqref="H8"/>
    </sheetView>
  </sheetViews>
  <sheetFormatPr defaultRowHeight="14.4" x14ac:dyDescent="0.3"/>
  <cols>
    <col min="2" max="2" width="41.5546875" customWidth="1"/>
    <col min="3" max="3" width="24.33203125" customWidth="1"/>
    <col min="4" max="4" width="11.6640625" customWidth="1"/>
    <col min="5" max="5" width="10.109375" customWidth="1"/>
    <col min="6" max="6" width="12.6640625" customWidth="1"/>
  </cols>
  <sheetData>
    <row r="1" spans="1:6" x14ac:dyDescent="0.3">
      <c r="A1" t="s">
        <v>0</v>
      </c>
      <c r="B1" t="s">
        <v>3</v>
      </c>
      <c r="C1" t="s">
        <v>5</v>
      </c>
      <c r="D1" t="s">
        <v>1</v>
      </c>
      <c r="E1" t="s">
        <v>2</v>
      </c>
      <c r="F1" t="s">
        <v>4</v>
      </c>
    </row>
    <row r="2" spans="1:6" x14ac:dyDescent="0.3">
      <c r="A2">
        <v>0.5</v>
      </c>
      <c r="B2">
        <f>($D$2*1000)/(SQRT(3)*$E$2*A2)</f>
        <v>144.33756729740645</v>
      </c>
      <c r="C2">
        <f>B2^2*$F$2</f>
        <v>41666.666666666672</v>
      </c>
      <c r="D2">
        <v>50</v>
      </c>
      <c r="E2">
        <v>400</v>
      </c>
      <c r="F2">
        <v>2</v>
      </c>
    </row>
    <row r="3" spans="1:6" x14ac:dyDescent="0.3">
      <c r="A3">
        <v>0.6</v>
      </c>
      <c r="B3">
        <f t="shared" ref="B3:B7" si="0">($D$2*1000)/(SQRT(3)*$E$2*A3)</f>
        <v>120.28130608117205</v>
      </c>
      <c r="C3">
        <f>B3^2*$F$2</f>
        <v>28935.185185185193</v>
      </c>
    </row>
    <row r="4" spans="1:6" x14ac:dyDescent="0.3">
      <c r="A4">
        <v>0.7</v>
      </c>
      <c r="B4">
        <f t="shared" si="0"/>
        <v>103.09826235529032</v>
      </c>
      <c r="C4">
        <f>B4^2*$F$2</f>
        <v>21258.503401360544</v>
      </c>
    </row>
    <row r="5" spans="1:6" x14ac:dyDescent="0.3">
      <c r="A5">
        <v>0.8</v>
      </c>
      <c r="B5">
        <f t="shared" si="0"/>
        <v>90.210979560879011</v>
      </c>
      <c r="C5">
        <f>B5^2*$F$2</f>
        <v>16276.041666666661</v>
      </c>
    </row>
    <row r="6" spans="1:6" x14ac:dyDescent="0.3">
      <c r="A6">
        <v>0.9</v>
      </c>
      <c r="B6">
        <f t="shared" si="0"/>
        <v>80.187537387448018</v>
      </c>
      <c r="C6">
        <f>B6^2*$F$2</f>
        <v>12860.082304526748</v>
      </c>
    </row>
    <row r="7" spans="1:6" x14ac:dyDescent="0.3">
      <c r="A7">
        <v>1</v>
      </c>
      <c r="B7">
        <f t="shared" si="0"/>
        <v>72.168783648703226</v>
      </c>
      <c r="C7">
        <f>B7^2*$F$2</f>
        <v>10416.666666666668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2026-04-07T08:24:26Z</dcterms:created>
  <dcterms:modified xsi:type="dcterms:W3CDTF">2026-04-07T08:50:38Z</dcterms:modified>
</cp:coreProperties>
</file>